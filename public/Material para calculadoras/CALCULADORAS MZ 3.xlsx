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"/>
    </mc:Choice>
  </mc:AlternateContent>
  <xr:revisionPtr revIDLastSave="0" documentId="8_{DA977D04-7AD1-FD46-A274-F6FB96900B7C}" xr6:coauthVersionLast="47" xr6:coauthVersionMax="47" xr10:uidLastSave="{00000000-0000-0000-0000-000000000000}"/>
  <bookViews>
    <workbookView xWindow="-108" yWindow="-108" windowWidth="23256" windowHeight="12456" xr2:uid="{5F0C829A-9256-46DE-9E81-53FEADFD7165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I21" i="1"/>
  <c r="I34" i="1"/>
  <c r="I35" i="1"/>
  <c r="I40" i="1"/>
  <c r="F35" i="1"/>
  <c r="F40" i="1"/>
  <c r="C33" i="1"/>
  <c r="C34" i="1"/>
  <c r="C37" i="1"/>
  <c r="F20" i="1"/>
  <c r="F21" i="1"/>
  <c r="F24" i="1"/>
  <c r="C21" i="1"/>
  <c r="C25" i="1"/>
  <c r="I23" i="1"/>
</calcChain>
</file>

<file path=xl/sharedStrings.xml><?xml version="1.0" encoding="utf-8"?>
<sst xmlns="http://schemas.openxmlformats.org/spreadsheetml/2006/main" count="75" uniqueCount="27">
  <si>
    <t>VALOR AVALUO</t>
  </si>
  <si>
    <t>VALOR VIVIENDA</t>
  </si>
  <si>
    <t>CREDITO</t>
  </si>
  <si>
    <t>SUBCUENTA</t>
  </si>
  <si>
    <t>GASTOS NOTARIALES</t>
  </si>
  <si>
    <t>APARTADO</t>
  </si>
  <si>
    <t>VALOR TOTAL</t>
  </si>
  <si>
    <t xml:space="preserve">DESCUENTO </t>
  </si>
  <si>
    <t>MODELO</t>
  </si>
  <si>
    <t>COFINAVIT</t>
  </si>
  <si>
    <t>BANCARIO</t>
  </si>
  <si>
    <t xml:space="preserve">DIFERENCIA </t>
  </si>
  <si>
    <t>UBICACIÓN</t>
  </si>
  <si>
    <t>FOVISSSTE</t>
  </si>
  <si>
    <t>INFONAVIT TRADICIONAL</t>
  </si>
  <si>
    <t>CREDITO BANCO</t>
  </si>
  <si>
    <t>CREDITO INFONAVIT</t>
  </si>
  <si>
    <t>CREDITO FOVISSSTE</t>
  </si>
  <si>
    <t>GASTOS NOTARIALES FOVISSSTE</t>
  </si>
  <si>
    <t>FOVISSSTE INFONAVIT</t>
  </si>
  <si>
    <t>DIFERENCIA TOTAL</t>
  </si>
  <si>
    <t>CFE</t>
  </si>
  <si>
    <t>DIFERENCIA POR PAGAR</t>
  </si>
  <si>
    <t>TOTAL</t>
  </si>
  <si>
    <t>PAGO</t>
  </si>
  <si>
    <t>DIFERENCIA</t>
  </si>
  <si>
    <t>DIFERENCIA A 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</si>
</sst>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1" xfId="1" applyFont="1" applyBorder="1" applyProtection="1"/>
    <xf numFmtId="0" fontId="0" fillId="0" borderId="1" xfId="0" applyBorder="1" applyProtection="1">
      <protection locked="0"/>
    </xf>
    <xf numFmtId="44" fontId="0" fillId="0" borderId="1" xfId="1" applyFont="1" applyBorder="1" applyProtection="1">
      <protection locked="0"/>
    </xf>
    <xf numFmtId="0" fontId="0" fillId="0" borderId="0" xfId="0" applyProtection="1">
      <protection locked="0"/>
    </xf>
    <xf numFmtId="44" fontId="0" fillId="0" borderId="0" xfId="1" applyFont="1" applyProtection="1">
      <protection locked="0"/>
    </xf>
    <xf numFmtId="44" fontId="0" fillId="2" borderId="1" xfId="1" applyFont="1" applyFill="1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44" fontId="0" fillId="2" borderId="1" xfId="1" applyFont="1" applyFill="1" applyBorder="1" applyProtection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44" fontId="0" fillId="0" borderId="0" xfId="1" applyFont="1"/>
    <xf numFmtId="44" fontId="0" fillId="0" borderId="0" xfId="0" applyNumberFormat="1"/>
    <xf numFmtId="44" fontId="0" fillId="0" borderId="1" xfId="0" applyNumberFormat="1" applyBorder="1"/>
    <xf numFmtId="0" fontId="0" fillId="0" borderId="1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17D9-3F60-426B-8CE5-5329F94DB3E8}">
  <dimension ref="B15:K46"/>
  <sheetViews>
    <sheetView tabSelected="1" topLeftCell="B1" workbookViewId="0">
      <selection activeCell="E44" sqref="E44"/>
    </sheetView>
  </sheetViews>
  <sheetFormatPr defaultColWidth="11.56640625" defaultRowHeight="15" x14ac:dyDescent="0.2"/>
  <cols>
    <col min="1" max="1" width="11.56640625" style="4"/>
    <col min="2" max="2" width="20.984375" style="4" bestFit="1" customWidth="1"/>
    <col min="3" max="3" width="30.1328125" style="5" customWidth="1"/>
    <col min="4" max="4" width="11.56640625" style="4"/>
    <col min="5" max="5" width="18.29296875" style="4" bestFit="1" customWidth="1"/>
    <col min="6" max="6" width="29.7265625" style="4" customWidth="1"/>
    <col min="7" max="7" width="11.56640625" style="4"/>
    <col min="8" max="8" width="27.7109375" style="4" bestFit="1" customWidth="1"/>
    <col min="9" max="9" width="22.59765625" style="4" bestFit="1" customWidth="1"/>
    <col min="10" max="10" width="11.56640625" style="4"/>
    <col min="11" max="11" width="13.98828125" style="4" bestFit="1" customWidth="1"/>
    <col min="12" max="16384" width="11.56640625" style="4"/>
  </cols>
  <sheetData>
    <row r="15" spans="2:9" x14ac:dyDescent="0.2">
      <c r="B15" s="15" t="s">
        <v>14</v>
      </c>
      <c r="C15" s="15"/>
      <c r="E15" s="15" t="s">
        <v>13</v>
      </c>
      <c r="F15" s="15"/>
      <c r="H15" s="15" t="s">
        <v>21</v>
      </c>
      <c r="I15" s="15"/>
    </row>
    <row r="16" spans="2:9" x14ac:dyDescent="0.2">
      <c r="B16" s="2" t="s">
        <v>8</v>
      </c>
      <c r="C16" s="6"/>
      <c r="E16" s="2" t="s">
        <v>8</v>
      </c>
      <c r="F16" s="6"/>
      <c r="H16" s="2" t="s">
        <v>8</v>
      </c>
      <c r="I16" s="6"/>
    </row>
    <row r="17" spans="2:11" x14ac:dyDescent="0.2">
      <c r="B17" s="2" t="s">
        <v>12</v>
      </c>
      <c r="C17" s="6"/>
      <c r="E17" s="2" t="s">
        <v>12</v>
      </c>
      <c r="F17" s="6"/>
      <c r="H17" s="2" t="s">
        <v>12</v>
      </c>
      <c r="I17" s="6"/>
    </row>
    <row r="18" spans="2:11" x14ac:dyDescent="0.2">
      <c r="B18" s="2" t="s">
        <v>0</v>
      </c>
      <c r="C18" s="3">
        <v>1770000</v>
      </c>
      <c r="E18" s="2" t="s">
        <v>0</v>
      </c>
      <c r="F18" s="3">
        <v>1770000</v>
      </c>
      <c r="H18" s="2" t="s">
        <v>0</v>
      </c>
      <c r="I18" s="3">
        <v>1770000</v>
      </c>
    </row>
    <row r="19" spans="2:11" x14ac:dyDescent="0.2">
      <c r="B19" s="2" t="s">
        <v>1</v>
      </c>
      <c r="C19" s="6">
        <v>1452000</v>
      </c>
      <c r="E19" s="2" t="s">
        <v>1</v>
      </c>
      <c r="F19" s="6">
        <v>1320170</v>
      </c>
      <c r="H19" s="2" t="s">
        <v>1</v>
      </c>
      <c r="I19" s="6">
        <v>2195000</v>
      </c>
    </row>
    <row r="20" spans="2:11" x14ac:dyDescent="0.2">
      <c r="B20" s="2" t="s">
        <v>4</v>
      </c>
      <c r="C20" s="1">
        <v>83000</v>
      </c>
      <c r="E20" s="2" t="s">
        <v>4</v>
      </c>
      <c r="F20" s="1">
        <f>F18*7%</f>
        <v>123900.00000000001</v>
      </c>
      <c r="H20" s="2" t="s">
        <v>2</v>
      </c>
      <c r="I20" s="8">
        <v>0</v>
      </c>
    </row>
    <row r="21" spans="2:11" x14ac:dyDescent="0.2">
      <c r="B21" s="2" t="s">
        <v>6</v>
      </c>
      <c r="C21" s="1">
        <f>C19+C20</f>
        <v>1535000</v>
      </c>
      <c r="E21" s="2" t="s">
        <v>6</v>
      </c>
      <c r="F21" s="1">
        <f>F19+F20</f>
        <v>1444070</v>
      </c>
      <c r="H21" s="2" t="s">
        <v>20</v>
      </c>
      <c r="I21" s="1">
        <f>I19-I20</f>
        <v>2195000</v>
      </c>
    </row>
    <row r="22" spans="2:11" x14ac:dyDescent="0.2">
      <c r="B22" s="2" t="s">
        <v>2</v>
      </c>
      <c r="C22" s="6">
        <v>1350139.57</v>
      </c>
      <c r="E22" s="2" t="s">
        <v>2</v>
      </c>
      <c r="F22" s="6">
        <v>1660000</v>
      </c>
      <c r="H22" s="2" t="s">
        <v>5</v>
      </c>
      <c r="I22" s="8">
        <v>0</v>
      </c>
    </row>
    <row r="23" spans="2:11" x14ac:dyDescent="0.2">
      <c r="B23" s="2" t="s">
        <v>3</v>
      </c>
      <c r="C23" s="6">
        <v>309860.43</v>
      </c>
      <c r="E23" s="2" t="s">
        <v>5</v>
      </c>
      <c r="F23" s="6">
        <v>16000</v>
      </c>
      <c r="H23" s="2" t="s">
        <v>11</v>
      </c>
      <c r="I23" s="1">
        <f>I21-I22</f>
        <v>2195000</v>
      </c>
    </row>
    <row r="24" spans="2:11" x14ac:dyDescent="0.2">
      <c r="B24" s="2" t="s">
        <v>5</v>
      </c>
      <c r="C24" s="6">
        <v>14500</v>
      </c>
      <c r="E24" s="2" t="s">
        <v>11</v>
      </c>
      <c r="F24" s="1">
        <f>F22+F23-F21</f>
        <v>231930</v>
      </c>
    </row>
    <row r="25" spans="2:11" x14ac:dyDescent="0.2">
      <c r="B25" s="2" t="s">
        <v>26</v>
      </c>
      <c r="C25" s="1">
        <f>C22+C23+C24-C21</f>
        <v>139500</v>
      </c>
      <c r="K25" s="5"/>
    </row>
    <row r="28" spans="2:11" x14ac:dyDescent="0.2">
      <c r="B28" s="15" t="s">
        <v>10</v>
      </c>
      <c r="C28" s="15"/>
    </row>
    <row r="29" spans="2:11" x14ac:dyDescent="0.2">
      <c r="B29" s="2" t="s">
        <v>8</v>
      </c>
      <c r="C29" s="6"/>
      <c r="E29" s="15" t="s">
        <v>9</v>
      </c>
      <c r="F29" s="15"/>
      <c r="H29" s="15" t="s">
        <v>19</v>
      </c>
      <c r="I29" s="15"/>
    </row>
    <row r="30" spans="2:11" x14ac:dyDescent="0.2">
      <c r="B30" s="2" t="s">
        <v>12</v>
      </c>
      <c r="C30" s="6"/>
      <c r="E30" s="7" t="s">
        <v>8</v>
      </c>
      <c r="F30" s="6"/>
      <c r="H30" s="7" t="s">
        <v>8</v>
      </c>
      <c r="I30" s="6"/>
    </row>
    <row r="31" spans="2:11" x14ac:dyDescent="0.2">
      <c r="B31" s="2" t="s">
        <v>0</v>
      </c>
      <c r="C31" s="3">
        <v>1770000</v>
      </c>
      <c r="E31" s="2" t="s">
        <v>12</v>
      </c>
      <c r="F31" s="6"/>
      <c r="H31" s="2" t="s">
        <v>12</v>
      </c>
      <c r="I31" s="6"/>
    </row>
    <row r="32" spans="2:11" x14ac:dyDescent="0.2">
      <c r="B32" s="2" t="s">
        <v>1</v>
      </c>
      <c r="C32" s="6">
        <v>1790000</v>
      </c>
      <c r="E32" s="2" t="s">
        <v>0</v>
      </c>
      <c r="F32" s="3">
        <v>1770000</v>
      </c>
      <c r="H32" s="2" t="s">
        <v>0</v>
      </c>
      <c r="I32" s="3">
        <v>1770000</v>
      </c>
    </row>
    <row r="33" spans="2:9" x14ac:dyDescent="0.2">
      <c r="B33" s="2" t="s">
        <v>4</v>
      </c>
      <c r="C33" s="1">
        <f>C31*6%</f>
        <v>106200</v>
      </c>
      <c r="E33" s="2" t="s">
        <v>1</v>
      </c>
      <c r="F33" s="6">
        <v>1961800</v>
      </c>
      <c r="H33" s="2" t="s">
        <v>1</v>
      </c>
      <c r="I33" s="6">
        <v>1550000</v>
      </c>
    </row>
    <row r="34" spans="2:9" x14ac:dyDescent="0.2">
      <c r="B34" s="2" t="s">
        <v>6</v>
      </c>
      <c r="C34" s="1">
        <f>C32+C33</f>
        <v>1896200</v>
      </c>
      <c r="E34" s="2" t="s">
        <v>4</v>
      </c>
      <c r="F34" s="1">
        <v>125000</v>
      </c>
      <c r="H34" s="2" t="s">
        <v>18</v>
      </c>
      <c r="I34" s="1">
        <f>I32*7%</f>
        <v>123900.00000000001</v>
      </c>
    </row>
    <row r="35" spans="2:9" x14ac:dyDescent="0.2">
      <c r="B35" s="2" t="s">
        <v>2</v>
      </c>
      <c r="C35" s="6">
        <v>1900000</v>
      </c>
      <c r="E35" s="2" t="s">
        <v>6</v>
      </c>
      <c r="F35" s="1">
        <f>F33+F34</f>
        <v>2086800</v>
      </c>
      <c r="H35" s="2" t="s">
        <v>6</v>
      </c>
      <c r="I35" s="1">
        <f>I33+I34</f>
        <v>1673900</v>
      </c>
    </row>
    <row r="36" spans="2:9" x14ac:dyDescent="0.2">
      <c r="B36" s="2" t="s">
        <v>5</v>
      </c>
      <c r="C36" s="6"/>
      <c r="E36" s="2" t="s">
        <v>2</v>
      </c>
      <c r="F36" s="6">
        <v>100000</v>
      </c>
      <c r="H36" s="2" t="s">
        <v>16</v>
      </c>
      <c r="I36" s="6">
        <v>100000</v>
      </c>
    </row>
    <row r="37" spans="2:9" x14ac:dyDescent="0.2">
      <c r="B37" s="2" t="s">
        <v>11</v>
      </c>
      <c r="C37" s="1">
        <f>C35+C36-C34</f>
        <v>3800</v>
      </c>
      <c r="E37" s="2" t="s">
        <v>3</v>
      </c>
      <c r="F37" s="6">
        <v>227393.08</v>
      </c>
      <c r="H37" s="2" t="s">
        <v>3</v>
      </c>
      <c r="I37" s="6">
        <v>406093.85</v>
      </c>
    </row>
    <row r="38" spans="2:9" x14ac:dyDescent="0.2">
      <c r="E38" s="2" t="s">
        <v>15</v>
      </c>
      <c r="F38" s="6">
        <v>1750607</v>
      </c>
      <c r="H38" s="2" t="s">
        <v>17</v>
      </c>
      <c r="I38" s="6">
        <v>1143906.1499999999</v>
      </c>
    </row>
    <row r="39" spans="2:9" x14ac:dyDescent="0.2">
      <c r="E39" s="2" t="s">
        <v>5</v>
      </c>
      <c r="F39" s="6">
        <v>10000</v>
      </c>
      <c r="H39" s="2" t="s">
        <v>5</v>
      </c>
      <c r="I39" s="6">
        <v>15500</v>
      </c>
    </row>
    <row r="40" spans="2:9" x14ac:dyDescent="0.2">
      <c r="E40" s="2" t="s">
        <v>11</v>
      </c>
      <c r="F40" s="1">
        <f>F36+F37+F38+F39-F35</f>
        <v>1200.0800000000745</v>
      </c>
      <c r="H40" s="2" t="s">
        <v>11</v>
      </c>
      <c r="I40" s="1">
        <f>I36+I37+I38+I39-I35</f>
        <v>-8400</v>
      </c>
    </row>
    <row r="46" spans="2:9" x14ac:dyDescent="0.2">
      <c r="H46" s="5"/>
    </row>
  </sheetData>
  <mergeCells count="6">
    <mergeCell ref="H15:I15"/>
    <mergeCell ref="B28:C28"/>
    <mergeCell ref="E29:F29"/>
    <mergeCell ref="B15:C15"/>
    <mergeCell ref="E15:F15"/>
    <mergeCell ref="H29:I29"/>
  </mergeCells>
  <dataValidations count="3">
    <dataValidation type="list" allowBlank="1" showInputMessage="1" showErrorMessage="1" sqref="B15:C15" xr:uid="{5A6AB3D9-D2C2-4066-9547-B3E1B7ABB7AE}">
      <formula1>"INFONAVIT TRADICIONAL, INFONAVIT TOTAL"</formula1>
    </dataValidation>
    <dataValidation type="list" allowBlank="1" showInputMessage="1" showErrorMessage="1" sqref="B28:C28" xr:uid="{7A94B731-BF07-41DF-A048-D73FB7242110}">
      <formula1>"BANCARIO, CFE"</formula1>
    </dataValidation>
    <dataValidation type="list" allowBlank="1" showInputMessage="1" showErrorMessage="1" sqref="C18 F18 I18 C31 F32 I32" xr:uid="{7D3D2741-317B-4705-B7ED-DC809C4D070A}">
      <formula1>"1770000,1870000,2120000,2150000"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14FD-4613-478A-9674-1960EC27985B}">
  <dimension ref="B7:D22"/>
  <sheetViews>
    <sheetView workbookViewId="0">
      <selection activeCell="B18" sqref="B18:C21"/>
    </sheetView>
  </sheetViews>
  <sheetFormatPr defaultColWidth="10.76171875" defaultRowHeight="15" x14ac:dyDescent="0.2"/>
  <cols>
    <col min="2" max="2" width="22.05859375" bestFit="1" customWidth="1"/>
    <col min="3" max="3" width="14.390625" style="13" bestFit="1" customWidth="1"/>
  </cols>
  <sheetData>
    <row r="7" spans="2:4" x14ac:dyDescent="0.2">
      <c r="B7" s="9" t="s">
        <v>23</v>
      </c>
      <c r="C7" s="11">
        <v>124516</v>
      </c>
      <c r="D7" s="10">
        <v>45834</v>
      </c>
    </row>
    <row r="8" spans="2:4" x14ac:dyDescent="0.2">
      <c r="B8" s="9" t="s">
        <v>7</v>
      </c>
      <c r="C8" s="11">
        <v>30000</v>
      </c>
      <c r="D8" s="9"/>
    </row>
    <row r="9" spans="2:4" x14ac:dyDescent="0.2">
      <c r="B9" s="9" t="s">
        <v>11</v>
      </c>
      <c r="C9" s="11">
        <v>94516</v>
      </c>
      <c r="D9" s="9"/>
    </row>
    <row r="10" spans="2:4" x14ac:dyDescent="0.2">
      <c r="B10" s="9" t="s">
        <v>24</v>
      </c>
      <c r="C10" s="11">
        <v>65000</v>
      </c>
      <c r="D10" s="10">
        <v>45847</v>
      </c>
    </row>
    <row r="11" spans="2:4" x14ac:dyDescent="0.2">
      <c r="B11" s="9" t="s">
        <v>22</v>
      </c>
      <c r="C11" s="11">
        <v>29516</v>
      </c>
      <c r="D11" s="10">
        <v>45884</v>
      </c>
    </row>
    <row r="12" spans="2:4" x14ac:dyDescent="0.2">
      <c r="C12" s="12"/>
    </row>
    <row r="16" spans="2:4" x14ac:dyDescent="0.2">
      <c r="B16" s="9" t="s">
        <v>1</v>
      </c>
      <c r="C16" s="14">
        <v>1563000</v>
      </c>
    </row>
    <row r="17" spans="2:3" x14ac:dyDescent="0.2">
      <c r="B17" s="9" t="s">
        <v>4</v>
      </c>
      <c r="C17" s="14">
        <v>53000</v>
      </c>
    </row>
    <row r="18" spans="2:3" x14ac:dyDescent="0.2">
      <c r="B18" s="9" t="s">
        <v>6</v>
      </c>
      <c r="C18" s="14">
        <v>1570000</v>
      </c>
    </row>
    <row r="19" spans="2:3" x14ac:dyDescent="0.2">
      <c r="B19" s="9" t="s">
        <v>16</v>
      </c>
      <c r="C19" s="14">
        <v>1660000</v>
      </c>
    </row>
    <row r="20" spans="2:3" x14ac:dyDescent="0.2">
      <c r="B20" s="9" t="s">
        <v>5</v>
      </c>
      <c r="C20" s="14">
        <v>10000</v>
      </c>
    </row>
    <row r="21" spans="2:3" x14ac:dyDescent="0.2">
      <c r="B21" s="9" t="s">
        <v>25</v>
      </c>
      <c r="C21" s="14">
        <f>C19+C20-C18</f>
        <v>100000</v>
      </c>
    </row>
    <row r="22" spans="2:3" x14ac:dyDescent="0.2">
      <c r="B22" s="9"/>
      <c r="C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cp:lastPrinted>2025-01-23T16:53:53Z</cp:lastPrinted>
  <dcterms:created xsi:type="dcterms:W3CDTF">2025-01-11T20:09:26Z</dcterms:created>
  <dcterms:modified xsi:type="dcterms:W3CDTF">2026-01-25T03:19:57Z</dcterms:modified>
</cp:coreProperties>
</file>
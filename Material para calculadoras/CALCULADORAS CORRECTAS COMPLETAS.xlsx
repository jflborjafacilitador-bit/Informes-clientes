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e892f33b23ce49dd/Escritorio/QUETZALES/"/>
    </mc:Choice>
  </mc:AlternateContent>
  <xr:revisionPtr revIDLastSave="310" documentId="8_{B7AEB95A-E351-456D-8CB8-F4C14C52131C}" xr6:coauthVersionLast="47" xr6:coauthVersionMax="47" xr10:uidLastSave="{E9A83DC7-A863-4ED0-A86B-E67D47B8119A}"/>
  <bookViews>
    <workbookView xWindow="-108" yWindow="-108" windowWidth="23256" windowHeight="12456" activeTab="1" xr2:uid="{5F0C829A-9256-46DE-9E81-53FEADFD7165}"/>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2" l="1"/>
  <c r="I21" i="1" l="1"/>
  <c r="I34" i="1"/>
  <c r="I35" i="1" s="1"/>
  <c r="I40" i="1" s="1"/>
  <c r="F35" i="1" l="1"/>
  <c r="F40" i="1" s="1"/>
  <c r="C33" i="1"/>
  <c r="C34" i="1" s="1"/>
  <c r="C37" i="1" s="1"/>
  <c r="F20" i="1"/>
  <c r="F21" i="1" s="1"/>
  <c r="F24" i="1" s="1"/>
  <c r="C21" i="1"/>
  <c r="C25" i="1" s="1"/>
  <c r="I23" i="1" l="1"/>
  <c r="B62" i="1"/>
  <c r="A65" i="1" s="1"/>
</calcChain>
</file>

<file path=xl/sharedStrings.xml><?xml version="1.0" encoding="utf-8"?>
<sst xmlns="http://schemas.openxmlformats.org/spreadsheetml/2006/main" count="104" uniqueCount="53">
  <si>
    <t>VALOR AVALUO</t>
  </si>
  <si>
    <t>VALOR VIVIENDA</t>
  </si>
  <si>
    <t>CREDITO</t>
  </si>
  <si>
    <t>SUBCUENTA</t>
  </si>
  <si>
    <t>GASTOS NOTARIALES</t>
  </si>
  <si>
    <t>APARTADO</t>
  </si>
  <si>
    <t>VALOR TOTAL</t>
  </si>
  <si>
    <t xml:space="preserve">DESARROLLO </t>
  </si>
  <si>
    <t xml:space="preserve">PROTOTIPO </t>
  </si>
  <si>
    <t xml:space="preserve">UBICACIÓN </t>
  </si>
  <si>
    <t xml:space="preserve">AVALUO </t>
  </si>
  <si>
    <t>PRECIO DE VENTA</t>
  </si>
  <si>
    <t xml:space="preserve">DESCUENTO </t>
  </si>
  <si>
    <t>UBI CACIÓN ESPECIAL</t>
  </si>
  <si>
    <t>TERRENOEXCEDENTE</t>
  </si>
  <si>
    <t>Valor Total de la vivienda</t>
  </si>
  <si>
    <t>MMC autorizado</t>
  </si>
  <si>
    <t>GASTOS DE TITULACION Y FINANCIEROS</t>
  </si>
  <si>
    <t>SUBCUENTA DE VIVIENDA</t>
  </si>
  <si>
    <t>Ahorro Voluntario</t>
  </si>
  <si>
    <t>DESCUENTO PROMOCION ESPECIAL</t>
  </si>
  <si>
    <t>CAPACIDAD DE COMPRA</t>
  </si>
  <si>
    <t>DICERENCIA TOTAL A PAGAR</t>
  </si>
  <si>
    <t>Diferencia final</t>
  </si>
  <si>
    <t>QUETZAL PLUS</t>
  </si>
  <si>
    <t>MODELO</t>
  </si>
  <si>
    <t>COFINAVIT</t>
  </si>
  <si>
    <t>TUCAN</t>
  </si>
  <si>
    <t>BANCARIO</t>
  </si>
  <si>
    <t>RESIDENCIAL QUETZALES</t>
  </si>
  <si>
    <t>CASA 22</t>
  </si>
  <si>
    <t xml:space="preserve">DIFERENCIA </t>
  </si>
  <si>
    <t>UBICACIÓN</t>
  </si>
  <si>
    <t>FOVISSSTE</t>
  </si>
  <si>
    <t>INFONAVIT TRADICIONAL</t>
  </si>
  <si>
    <t>CREDITO BANCO</t>
  </si>
  <si>
    <t>QUETZAL AUSTERA</t>
  </si>
  <si>
    <t>QUETZAL PLUS F A AUSTERA</t>
  </si>
  <si>
    <t>QUETZAL</t>
  </si>
  <si>
    <t>CREDITO INFONAVIT</t>
  </si>
  <si>
    <t>CREDITO FOVISSSTE</t>
  </si>
  <si>
    <t>GASTOS NOTARIALES FOVISSSTE</t>
  </si>
  <si>
    <t>FOVISSSTE INFONAVIT</t>
  </si>
  <si>
    <t>CASA 23</t>
  </si>
  <si>
    <t>DIFERENCIA TOTAL</t>
  </si>
  <si>
    <t>CFE</t>
  </si>
  <si>
    <t>QUETZAL PLUS F.A</t>
  </si>
  <si>
    <t>DIFERENCIA POR PAGAR</t>
  </si>
  <si>
    <t>TOTAL</t>
  </si>
  <si>
    <t>PAGO</t>
  </si>
  <si>
    <t>DIFERENCIA</t>
  </si>
  <si>
    <t>QUETZAL PLUS F.A. ELITE</t>
  </si>
  <si>
    <t>MZ 3 CASA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</si>
</sst>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8" x14ac:knownFonts="1">
    <font>
      <sz val="11"/>
      <color theme="1"/>
      <name val="Aptos Narrow"/>
      <family val="2"/>
      <scheme val="minor"/>
    </font>
    <font>
      <sz val="11"/>
      <color theme="1"/>
      <name val="Aptos Narrow"/>
      <family val="2"/>
      <scheme val="minor"/>
    </font>
    <font>
      <sz val="9"/>
      <name val="Tahoma"/>
      <family val="2"/>
    </font>
    <font>
      <b/>
      <sz val="9"/>
      <name val="Tahoma"/>
      <family val="2"/>
    </font>
    <font>
      <b/>
      <sz val="10"/>
      <name val="Tahoma"/>
      <family val="2"/>
    </font>
    <font>
      <sz val="8"/>
      <name val="Arial"/>
      <family val="2"/>
    </font>
    <font>
      <b/>
      <sz val="8"/>
      <name val="Arial"/>
      <family val="2"/>
    </font>
    <font>
      <sz val="9"/>
      <name val="Arial"/>
      <family val="2"/>
    </font>
  </fonts>
  <fills count="6">
    <fill>
      <patternFill patternType="none"/>
    </fill>
    <fill>
      <patternFill patternType="gray125"/>
    </fill>
    <fill>
      <patternFill patternType="solid">
        <fgColor theme="3"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theme="3" tint="0.89999084444715716"/>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bottom style="medium">
        <color indexed="55"/>
      </bottom>
      <diagonal/>
    </border>
    <border>
      <left/>
      <right/>
      <top/>
      <bottom style="medium">
        <color indexed="55"/>
      </bottom>
      <diagonal/>
    </border>
    <border>
      <left style="medium">
        <color auto="1"/>
      </left>
      <right/>
      <top/>
      <bottom/>
      <diagonal/>
    </border>
    <border>
      <left style="medium">
        <color auto="1"/>
      </left>
      <right/>
      <top style="medium">
        <color indexed="55"/>
      </top>
      <bottom/>
      <diagonal/>
    </border>
    <border>
      <left/>
      <right/>
      <top style="medium">
        <color indexed="55"/>
      </top>
      <bottom/>
      <diagonal/>
    </border>
    <border>
      <left/>
      <right/>
      <top style="medium">
        <color indexed="22"/>
      </top>
      <bottom style="medium">
        <color indexed="22"/>
      </bottom>
      <diagonal/>
    </border>
    <border>
      <left/>
      <right/>
      <top style="medium">
        <color indexed="55"/>
      </top>
      <bottom style="medium">
        <color indexed="55"/>
      </bottom>
      <diagonal/>
    </border>
    <border>
      <left style="medium">
        <color auto="1"/>
      </left>
      <right/>
      <top style="medium">
        <color indexed="55"/>
      </top>
      <bottom style="medium">
        <color indexed="55"/>
      </bottom>
      <diagonal/>
    </border>
  </borders>
  <cellStyleXfs count="2">
    <xf numFmtId="0" fontId="0" fillId="0" borderId="0"/>
    <xf numFmtId="44" fontId="1" fillId="0" borderId="0" applyFont="0" applyFill="0" applyBorder="0" applyAlignment="0" applyProtection="0"/>
  </cellStyleXfs>
  <cellXfs count="63">
    <xf numFmtId="0" fontId="0" fillId="0" borderId="0" xfId="0"/>
    <xf numFmtId="14" fontId="4" fillId="0" borderId="3" xfId="0" applyNumberFormat="1" applyFont="1" applyBorder="1" applyAlignment="1" applyProtection="1">
      <alignment horizontal="center" wrapText="1"/>
      <protection locked="0"/>
    </xf>
    <xf numFmtId="164" fontId="6" fillId="2" borderId="9" xfId="0" applyNumberFormat="1" applyFont="1" applyFill="1" applyBorder="1" applyProtection="1">
      <protection locked="0"/>
    </xf>
    <xf numFmtId="44" fontId="0" fillId="0" borderId="1" xfId="1" applyFont="1" applyBorder="1" applyProtection="1"/>
    <xf numFmtId="0" fontId="0" fillId="0" borderId="1" xfId="0" applyBorder="1" applyProtection="1">
      <protection locked="0"/>
    </xf>
    <xf numFmtId="44" fontId="0" fillId="0" borderId="1" xfId="1" applyFont="1" applyBorder="1" applyProtection="1">
      <protection locked="0"/>
    </xf>
    <xf numFmtId="0" fontId="0" fillId="0" borderId="0" xfId="0" applyProtection="1">
      <protection locked="0"/>
    </xf>
    <xf numFmtId="0" fontId="2" fillId="0" borderId="3" xfId="0" applyFont="1" applyBorder="1" applyProtection="1">
      <protection locked="0"/>
    </xf>
    <xf numFmtId="44" fontId="0" fillId="0" borderId="0" xfId="1" applyFont="1" applyProtection="1">
      <protection locked="0"/>
    </xf>
    <xf numFmtId="0" fontId="2" fillId="0" borderId="2" xfId="0" applyFont="1" applyBorder="1" applyProtection="1">
      <protection locked="0"/>
    </xf>
    <xf numFmtId="44" fontId="3" fillId="0" borderId="1" xfId="1" applyFont="1" applyBorder="1" applyAlignment="1" applyProtection="1">
      <alignment horizontal="center"/>
      <protection locked="0"/>
    </xf>
    <xf numFmtId="0" fontId="3" fillId="0" borderId="1" xfId="0" applyFont="1" applyBorder="1" applyAlignment="1" applyProtection="1">
      <alignment horizontal="center"/>
      <protection locked="0"/>
    </xf>
    <xf numFmtId="0" fontId="2" fillId="0" borderId="2" xfId="0" applyFont="1" applyBorder="1" applyAlignment="1" applyProtection="1">
      <alignment horizontal="left" vertical="center"/>
      <protection locked="0"/>
    </xf>
    <xf numFmtId="44" fontId="3" fillId="0" borderId="4" xfId="1" applyFont="1" applyBorder="1" applyAlignment="1" applyProtection="1">
      <alignment horizontal="center"/>
      <protection locked="0"/>
    </xf>
    <xf numFmtId="0" fontId="3" fillId="0" borderId="4" xfId="0" applyFont="1" applyBorder="1" applyAlignment="1" applyProtection="1">
      <alignment horizontal="center"/>
      <protection locked="0"/>
    </xf>
    <xf numFmtId="0" fontId="2" fillId="0" borderId="1" xfId="0" applyFont="1" applyBorder="1" applyAlignment="1" applyProtection="1">
      <alignment horizontal="left" vertical="center"/>
      <protection locked="0"/>
    </xf>
    <xf numFmtId="44" fontId="3" fillId="0" borderId="5" xfId="1" applyFont="1" applyBorder="1" applyAlignment="1" applyProtection="1">
      <alignment horizontal="center"/>
      <protection locked="0"/>
    </xf>
    <xf numFmtId="0" fontId="3" fillId="0" borderId="6" xfId="0" applyFont="1" applyBorder="1" applyAlignment="1" applyProtection="1">
      <alignment horizontal="center"/>
      <protection locked="0"/>
    </xf>
    <xf numFmtId="0" fontId="2" fillId="0" borderId="3" xfId="0" applyFont="1" applyBorder="1" applyAlignment="1" applyProtection="1">
      <alignment horizontal="left"/>
      <protection locked="0"/>
    </xf>
    <xf numFmtId="44" fontId="3" fillId="0" borderId="7" xfId="1" applyFont="1" applyBorder="1" applyAlignment="1" applyProtection="1">
      <alignment horizontal="center"/>
      <protection locked="0"/>
    </xf>
    <xf numFmtId="49" fontId="3" fillId="0" borderId="8" xfId="0" applyNumberFormat="1" applyFont="1" applyBorder="1" applyAlignment="1" applyProtection="1">
      <alignment horizontal="center"/>
      <protection locked="0"/>
    </xf>
    <xf numFmtId="0" fontId="2" fillId="0" borderId="2" xfId="0" applyFont="1" applyBorder="1" applyAlignment="1" applyProtection="1">
      <alignment horizontal="left"/>
      <protection locked="0"/>
    </xf>
    <xf numFmtId="0" fontId="5" fillId="3" borderId="0" xfId="0" applyFont="1" applyFill="1" applyProtection="1">
      <protection locked="0"/>
    </xf>
    <xf numFmtId="44" fontId="2" fillId="0" borderId="3" xfId="1" applyFont="1" applyBorder="1" applyAlignment="1" applyProtection="1">
      <alignment horizontal="left"/>
      <protection locked="0"/>
    </xf>
    <xf numFmtId="0" fontId="5" fillId="3" borderId="10" xfId="0" applyFont="1" applyFill="1" applyBorder="1" applyProtection="1">
      <protection locked="0"/>
    </xf>
    <xf numFmtId="44" fontId="5" fillId="3" borderId="11" xfId="1" applyFont="1" applyFill="1" applyBorder="1" applyProtection="1">
      <protection locked="0"/>
    </xf>
    <xf numFmtId="0" fontId="5" fillId="3" borderId="11" xfId="0" applyFont="1" applyFill="1" applyBorder="1" applyProtection="1">
      <protection locked="0"/>
    </xf>
    <xf numFmtId="0" fontId="5" fillId="3" borderId="12" xfId="0" applyFont="1" applyFill="1" applyBorder="1" applyProtection="1">
      <protection locked="0"/>
    </xf>
    <xf numFmtId="0" fontId="5" fillId="0" borderId="14" xfId="0" applyFont="1" applyBorder="1" applyProtection="1">
      <protection locked="0"/>
    </xf>
    <xf numFmtId="44" fontId="5" fillId="3" borderId="0" xfId="1" applyFont="1" applyFill="1" applyProtection="1">
      <protection locked="0"/>
    </xf>
    <xf numFmtId="0" fontId="5" fillId="0" borderId="13" xfId="0" applyFont="1" applyBorder="1" applyProtection="1">
      <protection locked="0"/>
    </xf>
    <xf numFmtId="44" fontId="5" fillId="0" borderId="14" xfId="1" applyFont="1" applyBorder="1" applyProtection="1">
      <protection locked="0"/>
    </xf>
    <xf numFmtId="0" fontId="5" fillId="3" borderId="13" xfId="0" applyFont="1" applyFill="1" applyBorder="1" applyProtection="1">
      <protection locked="0"/>
    </xf>
    <xf numFmtId="44" fontId="5" fillId="3" borderId="14" xfId="1" applyFont="1" applyFill="1" applyBorder="1" applyProtection="1">
      <protection locked="0"/>
    </xf>
    <xf numFmtId="0" fontId="5" fillId="3" borderId="14" xfId="0" applyFont="1" applyFill="1" applyBorder="1" applyProtection="1">
      <protection locked="0"/>
    </xf>
    <xf numFmtId="0" fontId="6" fillId="4" borderId="13" xfId="0" applyFont="1" applyFill="1" applyBorder="1" applyProtection="1">
      <protection locked="0"/>
    </xf>
    <xf numFmtId="4" fontId="0" fillId="0" borderId="0" xfId="0" applyNumberFormat="1" applyProtection="1">
      <protection locked="0"/>
    </xf>
    <xf numFmtId="44" fontId="6" fillId="4" borderId="14" xfId="1" applyFont="1" applyFill="1" applyBorder="1" applyProtection="1">
      <protection locked="0"/>
    </xf>
    <xf numFmtId="164" fontId="6" fillId="4" borderId="14" xfId="0" applyNumberFormat="1" applyFont="1" applyFill="1" applyBorder="1" applyProtection="1">
      <protection locked="0"/>
    </xf>
    <xf numFmtId="164" fontId="5" fillId="3" borderId="9" xfId="0" applyNumberFormat="1" applyFont="1" applyFill="1" applyBorder="1" applyProtection="1">
      <protection locked="0"/>
    </xf>
    <xf numFmtId="44" fontId="5" fillId="3" borderId="15" xfId="1" applyFont="1" applyFill="1" applyBorder="1" applyProtection="1">
      <protection locked="0"/>
    </xf>
    <xf numFmtId="164" fontId="7" fillId="3" borderId="9" xfId="0" applyNumberFormat="1" applyFont="1" applyFill="1" applyBorder="1" applyProtection="1">
      <protection locked="0"/>
    </xf>
    <xf numFmtId="164" fontId="5" fillId="3" borderId="0" xfId="0" applyNumberFormat="1" applyFont="1" applyFill="1" applyProtection="1">
      <protection locked="0"/>
    </xf>
    <xf numFmtId="44" fontId="5" fillId="3" borderId="16" xfId="1" applyFont="1" applyFill="1" applyBorder="1" applyProtection="1">
      <protection locked="0"/>
    </xf>
    <xf numFmtId="0" fontId="5" fillId="3" borderId="17" xfId="0" applyFont="1" applyFill="1" applyBorder="1" applyProtection="1">
      <protection locked="0"/>
    </xf>
    <xf numFmtId="0" fontId="5" fillId="3" borderId="16" xfId="0" applyFont="1" applyFill="1" applyBorder="1" applyProtection="1">
      <protection locked="0"/>
    </xf>
    <xf numFmtId="164" fontId="5" fillId="3" borderId="16" xfId="0" applyNumberFormat="1" applyFont="1" applyFill="1" applyBorder="1" applyProtection="1">
      <protection locked="0"/>
    </xf>
    <xf numFmtId="164" fontId="6" fillId="4" borderId="16" xfId="0" applyNumberFormat="1" applyFont="1" applyFill="1" applyBorder="1" applyProtection="1">
      <protection locked="0"/>
    </xf>
    <xf numFmtId="0" fontId="5" fillId="4" borderId="17" xfId="0" applyFont="1" applyFill="1" applyBorder="1" applyProtection="1">
      <protection locked="0"/>
    </xf>
    <xf numFmtId="164" fontId="6" fillId="3" borderId="16" xfId="0" applyNumberFormat="1" applyFont="1" applyFill="1" applyBorder="1" applyProtection="1">
      <protection locked="0"/>
    </xf>
    <xf numFmtId="44" fontId="6" fillId="4" borderId="16" xfId="1" applyFont="1" applyFill="1" applyBorder="1" applyProtection="1">
      <protection locked="0"/>
    </xf>
    <xf numFmtId="0" fontId="6" fillId="3" borderId="17" xfId="0" applyFont="1" applyFill="1" applyBorder="1" applyProtection="1">
      <protection locked="0"/>
    </xf>
    <xf numFmtId="44" fontId="6" fillId="3" borderId="16" xfId="1" applyFont="1" applyFill="1" applyBorder="1" applyProtection="1">
      <protection locked="0"/>
    </xf>
    <xf numFmtId="44" fontId="0" fillId="5" borderId="1" xfId="1" applyFont="1" applyFill="1" applyBorder="1" applyProtection="1">
      <protection locked="0"/>
    </xf>
    <xf numFmtId="0" fontId="0" fillId="0" borderId="1" xfId="0" applyBorder="1" applyAlignment="1" applyProtection="1">
      <alignment horizontal="left"/>
      <protection locked="0"/>
    </xf>
    <xf numFmtId="44" fontId="0" fillId="5" borderId="1" xfId="1" applyFont="1" applyFill="1" applyBorder="1" applyProtection="1"/>
    <xf numFmtId="0" fontId="0" fillId="0" borderId="1" xfId="0" applyBorder="1"/>
    <xf numFmtId="14" fontId="0" fillId="0" borderId="1" xfId="0" applyNumberFormat="1" applyBorder="1"/>
    <xf numFmtId="44" fontId="0" fillId="0" borderId="1" xfId="1" applyFont="1" applyBorder="1"/>
    <xf numFmtId="44" fontId="0" fillId="0" borderId="0" xfId="1" applyFont="1"/>
    <xf numFmtId="44" fontId="0" fillId="0" borderId="0" xfId="0" applyNumberFormat="1"/>
    <xf numFmtId="44" fontId="0" fillId="0" borderId="1" xfId="0" applyNumberFormat="1" applyBorder="1"/>
    <xf numFmtId="0" fontId="0" fillId="0" borderId="1" xfId="0" applyBorder="1" applyAlignment="1" applyProtection="1">
      <alignment horizontal="center"/>
      <protection locked="0"/>
    </xf>
  </cellXfs>
  <cellStyles count="2">
    <cellStyle name="Moneda" xfId="1" builtinId="4"/>
    <cellStyle name="Normal" xfId="0" builtinId="0"/>
  </cellStyles>
  <dxfs count="2">
    <dxf>
      <font>
        <strike val="0"/>
        <color theme="9" tint="0.59996337778862885"/>
      </font>
      <fill>
        <patternFill>
          <bgColor theme="9" tint="0.59996337778862885"/>
        </patternFill>
      </fill>
    </dxf>
    <dxf>
      <font>
        <color theme="9" tint="0.59996337778862885"/>
      </font>
      <fill>
        <patternFill>
          <bgColor theme="9" tint="0.59996337778862885"/>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17D9-3F60-426B-8CE5-5329F94DB3E8}">
  <dimension ref="A15:K73"/>
  <sheetViews>
    <sheetView topLeftCell="B9" workbookViewId="0">
      <selection activeCell="H16" sqref="H16:I23"/>
    </sheetView>
  </sheetViews>
  <sheetFormatPr baseColWidth="10" defaultColWidth="11.5546875" defaultRowHeight="14.4" x14ac:dyDescent="0.3"/>
  <cols>
    <col min="1" max="1" width="11.5546875" style="6"/>
    <col min="2" max="2" width="21" style="6" bestFit="1" customWidth="1"/>
    <col min="3" max="3" width="30.109375" style="8" customWidth="1"/>
    <col min="4" max="4" width="11.5546875" style="6"/>
    <col min="5" max="5" width="18.33203125" style="6" bestFit="1" customWidth="1"/>
    <col min="6" max="6" width="29.6640625" style="6" customWidth="1"/>
    <col min="7" max="7" width="11.5546875" style="6"/>
    <col min="8" max="8" width="27.6640625" style="6" bestFit="1" customWidth="1"/>
    <col min="9" max="9" width="22.5546875" style="6" bestFit="1" customWidth="1"/>
    <col min="10" max="10" width="11.5546875" style="6"/>
    <col min="11" max="11" width="14" style="6" bestFit="1" customWidth="1"/>
    <col min="12" max="16384" width="11.5546875" style="6"/>
  </cols>
  <sheetData>
    <row r="15" spans="2:9" x14ac:dyDescent="0.3">
      <c r="B15" s="62" t="s">
        <v>34</v>
      </c>
      <c r="C15" s="62"/>
      <c r="E15" s="62" t="s">
        <v>33</v>
      </c>
      <c r="F15" s="62"/>
      <c r="H15" s="62" t="s">
        <v>45</v>
      </c>
      <c r="I15" s="62"/>
    </row>
    <row r="16" spans="2:9" x14ac:dyDescent="0.3">
      <c r="B16" s="4" t="s">
        <v>25</v>
      </c>
      <c r="C16" s="53" t="s">
        <v>36</v>
      </c>
      <c r="E16" s="4" t="s">
        <v>25</v>
      </c>
      <c r="F16" s="53"/>
      <c r="H16" s="4" t="s">
        <v>25</v>
      </c>
      <c r="I16" s="53" t="s">
        <v>51</v>
      </c>
    </row>
    <row r="17" spans="2:11" x14ac:dyDescent="0.3">
      <c r="B17" s="4" t="s">
        <v>32</v>
      </c>
      <c r="C17" s="53"/>
      <c r="E17" s="4" t="s">
        <v>32</v>
      </c>
      <c r="F17" s="53"/>
      <c r="H17" s="4" t="s">
        <v>32</v>
      </c>
      <c r="I17" s="53" t="s">
        <v>52</v>
      </c>
    </row>
    <row r="18" spans="2:11" x14ac:dyDescent="0.3">
      <c r="B18" s="4" t="s">
        <v>0</v>
      </c>
      <c r="C18" s="5">
        <v>1660000</v>
      </c>
      <c r="E18" s="4" t="s">
        <v>0</v>
      </c>
      <c r="F18" s="5">
        <v>2018000</v>
      </c>
      <c r="H18" s="4" t="s">
        <v>0</v>
      </c>
      <c r="I18" s="8">
        <v>2195000</v>
      </c>
    </row>
    <row r="19" spans="2:11" x14ac:dyDescent="0.3">
      <c r="B19" s="4" t="s">
        <v>1</v>
      </c>
      <c r="C19" s="53">
        <v>1550000</v>
      </c>
      <c r="E19" s="4" t="s">
        <v>1</v>
      </c>
      <c r="F19" s="53">
        <v>1790000</v>
      </c>
      <c r="H19" s="4" t="s">
        <v>1</v>
      </c>
      <c r="I19" s="53">
        <v>2195000</v>
      </c>
    </row>
    <row r="20" spans="2:11" x14ac:dyDescent="0.3">
      <c r="B20" s="4" t="s">
        <v>4</v>
      </c>
      <c r="C20" s="3">
        <v>82500</v>
      </c>
      <c r="E20" s="4" t="s">
        <v>4</v>
      </c>
      <c r="F20" s="3">
        <f>F18*7%</f>
        <v>141260</v>
      </c>
      <c r="H20" s="4" t="s">
        <v>2</v>
      </c>
      <c r="I20" s="55">
        <v>0</v>
      </c>
    </row>
    <row r="21" spans="2:11" x14ac:dyDescent="0.3">
      <c r="B21" s="4" t="s">
        <v>6</v>
      </c>
      <c r="C21" s="3">
        <f>C19+C20</f>
        <v>1632500</v>
      </c>
      <c r="E21" s="4" t="s">
        <v>6</v>
      </c>
      <c r="F21" s="3">
        <f>F19+F20</f>
        <v>1931260</v>
      </c>
      <c r="H21" s="4" t="s">
        <v>44</v>
      </c>
      <c r="I21" s="3">
        <f>I19-I20</f>
        <v>2195000</v>
      </c>
    </row>
    <row r="22" spans="2:11" x14ac:dyDescent="0.3">
      <c r="B22" s="4" t="s">
        <v>2</v>
      </c>
      <c r="C22" s="53">
        <v>1324878.45</v>
      </c>
      <c r="E22" s="4" t="s">
        <v>2</v>
      </c>
      <c r="F22" s="53"/>
      <c r="H22" s="4" t="s">
        <v>5</v>
      </c>
      <c r="I22" s="55">
        <v>0</v>
      </c>
    </row>
    <row r="23" spans="2:11" x14ac:dyDescent="0.3">
      <c r="B23" s="4" t="s">
        <v>3</v>
      </c>
      <c r="C23" s="53">
        <v>240891.77</v>
      </c>
      <c r="E23" s="4" t="s">
        <v>5</v>
      </c>
      <c r="F23" s="53"/>
      <c r="H23" s="4" t="s">
        <v>31</v>
      </c>
      <c r="I23" s="3">
        <f>I21-I22</f>
        <v>2195000</v>
      </c>
    </row>
    <row r="24" spans="2:11" x14ac:dyDescent="0.3">
      <c r="B24" s="4" t="s">
        <v>5</v>
      </c>
      <c r="C24" s="53">
        <v>10000</v>
      </c>
      <c r="E24" s="4" t="s">
        <v>31</v>
      </c>
      <c r="F24" s="3">
        <f>F22+F23-F21</f>
        <v>-1931260</v>
      </c>
    </row>
    <row r="25" spans="2:11" x14ac:dyDescent="0.3">
      <c r="B25" s="4" t="s">
        <v>47</v>
      </c>
      <c r="C25" s="3">
        <f>C22+C23+C24-C21</f>
        <v>-56729.780000000028</v>
      </c>
      <c r="K25" s="8">
        <v>2195000</v>
      </c>
    </row>
    <row r="28" spans="2:11" x14ac:dyDescent="0.3">
      <c r="B28" s="62" t="s">
        <v>28</v>
      </c>
      <c r="C28" s="62"/>
    </row>
    <row r="29" spans="2:11" x14ac:dyDescent="0.3">
      <c r="B29" s="4" t="s">
        <v>25</v>
      </c>
      <c r="C29" s="53" t="s">
        <v>37</v>
      </c>
      <c r="E29" s="62" t="s">
        <v>26</v>
      </c>
      <c r="F29" s="62"/>
      <c r="H29" s="62" t="s">
        <v>42</v>
      </c>
      <c r="I29" s="62"/>
    </row>
    <row r="30" spans="2:11" x14ac:dyDescent="0.3">
      <c r="B30" s="4" t="s">
        <v>32</v>
      </c>
      <c r="C30" s="53"/>
      <c r="E30" s="54" t="s">
        <v>25</v>
      </c>
      <c r="F30" s="53" t="s">
        <v>46</v>
      </c>
      <c r="H30" s="54" t="s">
        <v>25</v>
      </c>
      <c r="I30" s="53" t="s">
        <v>38</v>
      </c>
    </row>
    <row r="31" spans="2:11" x14ac:dyDescent="0.3">
      <c r="B31" s="4" t="s">
        <v>0</v>
      </c>
      <c r="C31" s="5">
        <v>2018000</v>
      </c>
      <c r="E31" s="4" t="s">
        <v>32</v>
      </c>
      <c r="F31" s="53"/>
      <c r="H31" s="4" t="s">
        <v>32</v>
      </c>
      <c r="I31" s="53" t="s">
        <v>43</v>
      </c>
    </row>
    <row r="32" spans="2:11" x14ac:dyDescent="0.3">
      <c r="B32" s="4" t="s">
        <v>1</v>
      </c>
      <c r="C32" s="53">
        <v>1790000</v>
      </c>
      <c r="E32" s="4" t="s">
        <v>0</v>
      </c>
      <c r="F32" s="5">
        <v>2018000</v>
      </c>
      <c r="H32" s="4" t="s">
        <v>0</v>
      </c>
      <c r="I32" s="5">
        <v>1660000</v>
      </c>
    </row>
    <row r="33" spans="2:9" x14ac:dyDescent="0.3">
      <c r="B33" s="4" t="s">
        <v>4</v>
      </c>
      <c r="C33" s="3">
        <f>C31*6%</f>
        <v>121080</v>
      </c>
      <c r="E33" s="4" t="s">
        <v>1</v>
      </c>
      <c r="F33" s="53">
        <v>1961800</v>
      </c>
      <c r="H33" s="4" t="s">
        <v>1</v>
      </c>
      <c r="I33" s="53">
        <v>1550000</v>
      </c>
    </row>
    <row r="34" spans="2:9" x14ac:dyDescent="0.3">
      <c r="B34" s="4" t="s">
        <v>6</v>
      </c>
      <c r="C34" s="3">
        <f>C32+C33</f>
        <v>1911080</v>
      </c>
      <c r="E34" s="4" t="s">
        <v>4</v>
      </c>
      <c r="F34" s="3">
        <v>125000</v>
      </c>
      <c r="H34" s="4" t="s">
        <v>41</v>
      </c>
      <c r="I34" s="3">
        <f>I32*7%</f>
        <v>116200.00000000001</v>
      </c>
    </row>
    <row r="35" spans="2:9" x14ac:dyDescent="0.3">
      <c r="B35" s="4" t="s">
        <v>2</v>
      </c>
      <c r="C35" s="53">
        <v>1900000</v>
      </c>
      <c r="E35" s="4" t="s">
        <v>6</v>
      </c>
      <c r="F35" s="3">
        <f>F33+F34</f>
        <v>2086800</v>
      </c>
      <c r="H35" s="4" t="s">
        <v>6</v>
      </c>
      <c r="I35" s="3">
        <f>I33+I34</f>
        <v>1666200</v>
      </c>
    </row>
    <row r="36" spans="2:9" x14ac:dyDescent="0.3">
      <c r="B36" s="4" t="s">
        <v>5</v>
      </c>
      <c r="C36" s="53"/>
      <c r="E36" s="4" t="s">
        <v>2</v>
      </c>
      <c r="F36" s="53">
        <v>100000</v>
      </c>
      <c r="H36" s="4" t="s">
        <v>39</v>
      </c>
      <c r="I36" s="53">
        <v>100000</v>
      </c>
    </row>
    <row r="37" spans="2:9" x14ac:dyDescent="0.3">
      <c r="B37" s="4" t="s">
        <v>31</v>
      </c>
      <c r="C37" s="3">
        <f>C35+C36-C34</f>
        <v>-11080</v>
      </c>
      <c r="E37" s="4" t="s">
        <v>3</v>
      </c>
      <c r="F37" s="53">
        <v>227393.08</v>
      </c>
      <c r="H37" s="4" t="s">
        <v>3</v>
      </c>
      <c r="I37" s="53">
        <v>406093.85</v>
      </c>
    </row>
    <row r="38" spans="2:9" x14ac:dyDescent="0.3">
      <c r="E38" s="4" t="s">
        <v>35</v>
      </c>
      <c r="F38" s="53">
        <v>1750607</v>
      </c>
      <c r="H38" s="4" t="s">
        <v>40</v>
      </c>
      <c r="I38" s="53">
        <v>1143906.1499999999</v>
      </c>
    </row>
    <row r="39" spans="2:9" x14ac:dyDescent="0.3">
      <c r="E39" s="4" t="s">
        <v>5</v>
      </c>
      <c r="F39" s="53">
        <v>10000</v>
      </c>
      <c r="H39" s="4" t="s">
        <v>5</v>
      </c>
      <c r="I39" s="53">
        <v>15500</v>
      </c>
    </row>
    <row r="40" spans="2:9" x14ac:dyDescent="0.3">
      <c r="E40" s="4" t="s">
        <v>31</v>
      </c>
      <c r="F40" s="3">
        <f>F36+F37+F38+F39-F35</f>
        <v>1200.0800000000745</v>
      </c>
      <c r="H40" s="4" t="s">
        <v>31</v>
      </c>
      <c r="I40" s="3">
        <f>I36+I37+I38+I39-I35</f>
        <v>-700</v>
      </c>
    </row>
    <row r="46" spans="2:9" x14ac:dyDescent="0.3">
      <c r="H46" s="8"/>
    </row>
    <row r="53" spans="1:4" x14ac:dyDescent="0.3">
      <c r="B53" s="7"/>
    </row>
    <row r="54" spans="1:4" x14ac:dyDescent="0.3">
      <c r="A54" s="9" t="s">
        <v>7</v>
      </c>
      <c r="B54" s="7"/>
      <c r="C54" s="10" t="s">
        <v>29</v>
      </c>
      <c r="D54" s="11"/>
    </row>
    <row r="55" spans="1:4" x14ac:dyDescent="0.3">
      <c r="A55" s="9" t="s">
        <v>8</v>
      </c>
      <c r="B55" s="12"/>
      <c r="C55" s="13" t="s">
        <v>24</v>
      </c>
      <c r="D55" s="14"/>
    </row>
    <row r="56" spans="1:4" x14ac:dyDescent="0.3">
      <c r="A56" s="15" t="s">
        <v>9</v>
      </c>
      <c r="B56" s="12"/>
      <c r="C56" s="16" t="s">
        <v>27</v>
      </c>
      <c r="D56" s="17"/>
    </row>
    <row r="57" spans="1:4" x14ac:dyDescent="0.3">
      <c r="A57" s="15"/>
      <c r="B57" s="18"/>
      <c r="C57" s="19" t="s">
        <v>30</v>
      </c>
      <c r="D57" s="20"/>
    </row>
    <row r="58" spans="1:4" x14ac:dyDescent="0.3">
      <c r="A58" s="21" t="s">
        <v>10</v>
      </c>
      <c r="B58" s="22"/>
      <c r="C58" s="23"/>
      <c r="D58" s="1"/>
    </row>
    <row r="59" spans="1:4" ht="15" thickBot="1" x14ac:dyDescent="0.35">
      <c r="A59" s="24" t="s">
        <v>11</v>
      </c>
      <c r="B59" s="22"/>
      <c r="C59" s="25"/>
      <c r="D59" s="26"/>
    </row>
    <row r="60" spans="1:4" ht="15" thickBot="1" x14ac:dyDescent="0.35">
      <c r="A60" s="27" t="s">
        <v>12</v>
      </c>
      <c r="B60" s="28"/>
      <c r="C60" s="29"/>
      <c r="D60" s="22"/>
    </row>
    <row r="61" spans="1:4" ht="15" thickBot="1" x14ac:dyDescent="0.35">
      <c r="A61" s="30" t="s">
        <v>13</v>
      </c>
      <c r="B61" s="22"/>
      <c r="C61" s="31"/>
      <c r="D61" s="28"/>
    </row>
    <row r="62" spans="1:4" ht="15" thickBot="1" x14ac:dyDescent="0.35">
      <c r="A62" s="32" t="s">
        <v>14</v>
      </c>
      <c r="B62" s="2" t="e">
        <f>#REF!</f>
        <v>#REF!</v>
      </c>
      <c r="C62" s="33"/>
      <c r="D62" s="34"/>
    </row>
    <row r="63" spans="1:4" ht="15" thickBot="1" x14ac:dyDescent="0.35">
      <c r="A63" s="35" t="s">
        <v>15</v>
      </c>
      <c r="B63" s="36"/>
      <c r="C63" s="37"/>
      <c r="D63" s="38"/>
    </row>
    <row r="64" spans="1:4" ht="15" thickBot="1" x14ac:dyDescent="0.35">
      <c r="A64" s="34" t="s">
        <v>16</v>
      </c>
      <c r="B64" s="39"/>
      <c r="C64" s="40"/>
      <c r="D64" s="34"/>
    </row>
    <row r="65" spans="1:4" ht="15" thickBot="1" x14ac:dyDescent="0.35">
      <c r="A65" s="41" t="e">
        <f>IF(#REF!&lt;30000,("IMPUESTOS Y DERECHOS"),(0))</f>
        <v>#REF!</v>
      </c>
      <c r="B65" s="42"/>
      <c r="C65" s="43">
        <v>974.4</v>
      </c>
      <c r="D65" s="39"/>
    </row>
    <row r="66" spans="1:4" ht="15" thickBot="1" x14ac:dyDescent="0.35">
      <c r="A66" s="44" t="s">
        <v>17</v>
      </c>
      <c r="B66" s="36"/>
      <c r="C66" s="43"/>
      <c r="D66" s="42"/>
    </row>
    <row r="67" spans="1:4" ht="15" thickBot="1" x14ac:dyDescent="0.35">
      <c r="A67" s="44" t="s">
        <v>18</v>
      </c>
      <c r="B67" s="45"/>
      <c r="C67" s="43"/>
      <c r="D67" s="36"/>
    </row>
    <row r="68" spans="1:4" ht="15" thickBot="1" x14ac:dyDescent="0.35">
      <c r="A68" s="44" t="s">
        <v>19</v>
      </c>
      <c r="B68" s="45"/>
      <c r="C68" s="43"/>
      <c r="D68" s="45"/>
    </row>
    <row r="69" spans="1:4" ht="15" thickBot="1" x14ac:dyDescent="0.35">
      <c r="A69" s="44" t="s">
        <v>20</v>
      </c>
      <c r="B69" s="45"/>
      <c r="C69" s="43"/>
      <c r="D69" s="46"/>
    </row>
    <row r="70" spans="1:4" ht="15" thickBot="1" x14ac:dyDescent="0.35">
      <c r="A70" s="44" t="s">
        <v>21</v>
      </c>
      <c r="B70" s="47"/>
      <c r="C70" s="43"/>
      <c r="D70" s="46"/>
    </row>
    <row r="71" spans="1:4" ht="15" thickBot="1" x14ac:dyDescent="0.35">
      <c r="A71" s="48" t="s">
        <v>22</v>
      </c>
      <c r="B71" s="49"/>
      <c r="C71" s="50"/>
      <c r="D71" s="47"/>
    </row>
    <row r="72" spans="1:4" ht="15" thickBot="1" x14ac:dyDescent="0.35">
      <c r="A72" s="51" t="s">
        <v>5</v>
      </c>
      <c r="B72" s="46"/>
      <c r="C72" s="52"/>
      <c r="D72" s="49"/>
    </row>
    <row r="73" spans="1:4" ht="15" thickBot="1" x14ac:dyDescent="0.35">
      <c r="A73" s="44" t="s">
        <v>23</v>
      </c>
      <c r="C73" s="43"/>
      <c r="D73" s="46"/>
    </row>
  </sheetData>
  <protectedRanges>
    <protectedRange sqref="B62" name="Rango6_1_2_2"/>
  </protectedRanges>
  <mergeCells count="6">
    <mergeCell ref="H15:I15"/>
    <mergeCell ref="B28:C28"/>
    <mergeCell ref="E29:F29"/>
    <mergeCell ref="B15:C15"/>
    <mergeCell ref="E15:F15"/>
    <mergeCell ref="H29:I29"/>
  </mergeCells>
  <conditionalFormatting sqref="A65">
    <cfRule type="cellIs" dxfId="1" priority="1" stopIfTrue="1" operator="equal">
      <formula>0</formula>
    </cfRule>
  </conditionalFormatting>
  <conditionalFormatting sqref="B64">
    <cfRule type="cellIs" dxfId="0" priority="2" stopIfTrue="1" operator="greaterThan">
      <formula>30000</formula>
    </cfRule>
  </conditionalFormatting>
  <dataValidations count="4">
    <dataValidation type="list" allowBlank="1" showInputMessage="1" showErrorMessage="1" sqref="C18 F18 I32 C31 F32" xr:uid="{1AEEFFB4-EA45-4F0D-B980-9FD7FEC330AF}">
      <formula1>"1660000,2018000,2030000"</formula1>
    </dataValidation>
    <dataValidation type="list" allowBlank="1" showInputMessage="1" showErrorMessage="1" sqref="C16 F16 I16 C29 F30 I30" xr:uid="{BDB903BA-E74D-44ED-BA1E-6C6DFFA4B63A}">
      <formula1>"QUETZAL,QUETZAL ELITE,QUETZAL AUSTERA,QUETZAL AUSTERA ELITE,QUETZAL PLUS, QUETZAL PLUS ELIT, QUETZAL PLUS AUSTERA, QUETZAL PLUS AUSTERA ELITE, QUETZAL PLUS F.A.,QUETZAL PLUS F.A. ELITE, QUETZAL PLUS F.A. AUSTERA, QUETZAL PLUS F.A. AUSTERA ELITE"</formula1>
    </dataValidation>
    <dataValidation type="list" allowBlank="1" showInputMessage="1" showErrorMessage="1" sqref="B15:C15" xr:uid="{5A6AB3D9-D2C2-4066-9547-B3E1B7ABB7AE}">
      <formula1>"INFONAVIT TRADICIONAL, INFONAVIT TOTAL"</formula1>
    </dataValidation>
    <dataValidation type="list" allowBlank="1" showInputMessage="1" showErrorMessage="1" sqref="B28:C28" xr:uid="{7A94B731-BF07-41DF-A048-D73FB7242110}">
      <formula1>"BANCARIO, CFE"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14FD-4613-478A-9674-1960EC27985B}">
  <dimension ref="B7:D22"/>
  <sheetViews>
    <sheetView tabSelected="1" workbookViewId="0">
      <selection activeCell="B18" sqref="B18:C21"/>
    </sheetView>
  </sheetViews>
  <sheetFormatPr baseColWidth="10" defaultRowHeight="14.4" x14ac:dyDescent="0.3"/>
  <cols>
    <col min="2" max="2" width="22" bestFit="1" customWidth="1"/>
    <col min="3" max="3" width="14.44140625" style="60" bestFit="1" customWidth="1"/>
  </cols>
  <sheetData>
    <row r="7" spans="2:4" x14ac:dyDescent="0.3">
      <c r="B7" s="56" t="s">
        <v>48</v>
      </c>
      <c r="C7" s="58">
        <v>124516</v>
      </c>
      <c r="D7" s="57">
        <v>45834</v>
      </c>
    </row>
    <row r="8" spans="2:4" x14ac:dyDescent="0.3">
      <c r="B8" s="56" t="s">
        <v>12</v>
      </c>
      <c r="C8" s="58">
        <v>30000</v>
      </c>
      <c r="D8" s="56"/>
    </row>
    <row r="9" spans="2:4" x14ac:dyDescent="0.3">
      <c r="B9" s="56" t="s">
        <v>31</v>
      </c>
      <c r="C9" s="58">
        <v>94516</v>
      </c>
      <c r="D9" s="56"/>
    </row>
    <row r="10" spans="2:4" x14ac:dyDescent="0.3">
      <c r="B10" s="56" t="s">
        <v>49</v>
      </c>
      <c r="C10" s="58">
        <v>65000</v>
      </c>
      <c r="D10" s="57">
        <v>45847</v>
      </c>
    </row>
    <row r="11" spans="2:4" x14ac:dyDescent="0.3">
      <c r="B11" s="56" t="s">
        <v>47</v>
      </c>
      <c r="C11" s="58">
        <v>29516</v>
      </c>
      <c r="D11" s="57">
        <v>45884</v>
      </c>
    </row>
    <row r="12" spans="2:4" x14ac:dyDescent="0.3">
      <c r="C12" s="59"/>
    </row>
    <row r="16" spans="2:4" x14ac:dyDescent="0.3">
      <c r="B16" s="56" t="s">
        <v>1</v>
      </c>
      <c r="C16" s="61">
        <v>1563000</v>
      </c>
    </row>
    <row r="17" spans="2:3" x14ac:dyDescent="0.3">
      <c r="B17" s="56" t="s">
        <v>4</v>
      </c>
      <c r="C17" s="61">
        <v>53000</v>
      </c>
    </row>
    <row r="18" spans="2:3" x14ac:dyDescent="0.3">
      <c r="B18" s="56" t="s">
        <v>6</v>
      </c>
      <c r="C18" s="61">
        <v>1570000</v>
      </c>
    </row>
    <row r="19" spans="2:3" x14ac:dyDescent="0.3">
      <c r="B19" s="56" t="s">
        <v>39</v>
      </c>
      <c r="C19" s="61">
        <v>1660000</v>
      </c>
    </row>
    <row r="20" spans="2:3" x14ac:dyDescent="0.3">
      <c r="B20" s="56" t="s">
        <v>5</v>
      </c>
      <c r="C20" s="61">
        <v>10000</v>
      </c>
    </row>
    <row r="21" spans="2:3" x14ac:dyDescent="0.3">
      <c r="B21" s="56" t="s">
        <v>50</v>
      </c>
      <c r="C21" s="61">
        <f>C19+C20-C18</f>
        <v>100000</v>
      </c>
    </row>
    <row r="22" spans="2:3" x14ac:dyDescent="0.3">
      <c r="B22" s="56"/>
      <c r="C22" s="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bredna chavez</dc:creator>
  <cp:lastModifiedBy>bredna chavez</cp:lastModifiedBy>
  <cp:lastPrinted>2025-01-23T16:53:53Z</cp:lastPrinted>
  <dcterms:created xsi:type="dcterms:W3CDTF">2025-01-11T20:09:26Z</dcterms:created>
  <dcterms:modified xsi:type="dcterms:W3CDTF">2025-10-28T02:21:53Z</dcterms:modified>
</cp:coreProperties>
</file>